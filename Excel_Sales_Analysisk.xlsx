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Raw Data" sheetId="1" r:id="rId1"/>
    <sheet name="Analysi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<sst xmlns="http://schemas.openxmlformats.org/spreadsheetml/2006/main" count="205" uniqueCount="120">
  <si>
    <t>Excel Mini Task – Sales Analysis</t>
  </si>
  <si>
    <t>Product Master</t>
  </si>
  <si>
    <t>Complete the yellow columns using Excel formulas. Keep the original data unchanged.</t>
  </si>
  <si>
    <t>Product Code</t>
  </si>
  <si>
    <t>Product</t>
  </si>
  <si>
    <t>Category</t>
  </si>
  <si>
    <t>Unit Price</t>
  </si>
  <si>
    <t>Task 1</t>
  </si>
  <si>
    <t>Use XLOOKUP/VLOOKUP to return Product, Category and Unit Price from the Product Master table.</t>
  </si>
  <si>
    <t>P101</t>
  </si>
  <si>
    <t>Laptop</t>
  </si>
  <si>
    <t>Technology</t>
  </si>
  <si>
    <t>Task 2</t>
  </si>
  <si>
    <t>Calculate Revenue, Profit, Profit Margin and Performance (High Profit if Profit &gt;= 300).</t>
  </si>
  <si>
    <t>P102</t>
  </si>
  <si>
    <t>Monitor</t>
  </si>
  <si>
    <t>Task 3</t>
  </si>
  <si>
    <t>Go to the Analysis sheet and complete the KPIs and Region Summary, then review the Dashboard.</t>
  </si>
  <si>
    <t>P103</t>
  </si>
  <si>
    <t>Chair</t>
  </si>
  <si>
    <t>Furniture</t>
  </si>
  <si>
    <t>P104</t>
  </si>
  <si>
    <t>Desk</t>
  </si>
  <si>
    <t>P105</t>
  </si>
  <si>
    <t>Phone</t>
  </si>
  <si>
    <t>Order ID</t>
  </si>
  <si>
    <t>Date</t>
  </si>
  <si>
    <t>Region</t>
  </si>
  <si>
    <t>Qty</t>
  </si>
  <si>
    <t>Cost</t>
  </si>
  <si>
    <t>Revenue</t>
  </si>
  <si>
    <t>Profit</t>
  </si>
  <si>
    <t>Profit Margin</t>
  </si>
  <si>
    <t>Performance</t>
  </si>
  <si>
    <t>S-1000</t>
  </si>
  <si>
    <t>North</t>
  </si>
  <si>
    <t>S-1001</t>
  </si>
  <si>
    <t>S-1002</t>
  </si>
  <si>
    <t>S-1003</t>
  </si>
  <si>
    <t>West</t>
  </si>
  <si>
    <t>S-1004</t>
  </si>
  <si>
    <t>S-1005</t>
  </si>
  <si>
    <t>S-1006</t>
  </si>
  <si>
    <t>South</t>
  </si>
  <si>
    <t>S-1007</t>
  </si>
  <si>
    <t>East</t>
  </si>
  <si>
    <t>S-1008</t>
  </si>
  <si>
    <t>S-1009</t>
  </si>
  <si>
    <t>S-1010</t>
  </si>
  <si>
    <t>S-1011</t>
  </si>
  <si>
    <t>S-1012</t>
  </si>
  <si>
    <t>S-1013</t>
  </si>
  <si>
    <t>S-1014</t>
  </si>
  <si>
    <t>S-1015</t>
  </si>
  <si>
    <t>S-1016</t>
  </si>
  <si>
    <t>S-1017</t>
  </si>
  <si>
    <t>S-1018</t>
  </si>
  <si>
    <t>S-1019</t>
  </si>
  <si>
    <t>S-1020</t>
  </si>
  <si>
    <t>S-1021</t>
  </si>
  <si>
    <t>S-1022</t>
  </si>
  <si>
    <t>S-1023</t>
  </si>
  <si>
    <t>S-1024</t>
  </si>
  <si>
    <t>S-1025</t>
  </si>
  <si>
    <t>S-1026</t>
  </si>
  <si>
    <t>S-1027</t>
  </si>
  <si>
    <t>S-1028</t>
  </si>
  <si>
    <t>S-1029</t>
  </si>
  <si>
    <t>Analysis – Complete the Yellow Cells</t>
  </si>
  <si>
    <t>Use formulas only. Do not type the answers manually.</t>
  </si>
  <si>
    <t>KPI / Question</t>
  </si>
  <si>
    <t>Your Formula / Result</t>
  </si>
  <si>
    <t>Total Revenue</t>
  </si>
  <si>
    <t>Total Profit</t>
  </si>
  <si>
    <t>Average Revenue per Order</t>
  </si>
  <si>
    <t>Number of Orders</t>
  </si>
  <si>
    <t>Technology Revenue</t>
  </si>
  <si>
    <t>Grand Total</t>
  </si>
  <si>
    <t>Furniture Revenue</t>
  </si>
  <si>
    <t>East Region Orders</t>
  </si>
  <si>
    <t>Required Functions / Skills</t>
  </si>
  <si>
    <t>1</t>
  </si>
  <si>
    <t>Lookup</t>
  </si>
  <si>
    <t>Fill Product, Category and Unit Price in Raw Data.</t>
  </si>
  <si>
    <t>Hint: XLOOKUP or VLOOKUP</t>
  </si>
  <si>
    <t>2</t>
  </si>
  <si>
    <t>Qty × Unit Price.</t>
  </si>
  <si>
    <t>Use cell references</t>
  </si>
  <si>
    <t>3</t>
  </si>
  <si>
    <t>Revenue − Cost.</t>
  </si>
  <si>
    <t>4</t>
  </si>
  <si>
    <t>Profit ÷ Revenue.</t>
  </si>
  <si>
    <t>Format as %</t>
  </si>
  <si>
    <t>5</t>
  </si>
  <si>
    <t>IF Profit &gt;= 300 → "High Profit", else "Low Profit".</t>
  </si>
  <si>
    <t>Use IF</t>
  </si>
  <si>
    <t>6</t>
  </si>
  <si>
    <t>KPIs</t>
  </si>
  <si>
    <t>Use SUM, AVERAGE, COUNTA/COUNT, SUMIF and COUNTIF.</t>
  </si>
  <si>
    <t>Complete B5:B11</t>
  </si>
  <si>
    <t>7</t>
  </si>
  <si>
    <t>Region Summary</t>
  </si>
  <si>
    <t>Calculate Revenue and Profit for each region.</t>
  </si>
  <si>
    <t>Use SUMIF</t>
  </si>
  <si>
    <t>Business Questions</t>
  </si>
  <si>
    <t>Write your answer in simple words:</t>
  </si>
  <si>
    <t>1. Which region generated the highest revenue?</t>
  </si>
  <si>
    <t>East generated the highest revenue</t>
  </si>
  <si>
    <t>2. Which category generated more revenue?</t>
  </si>
  <si>
    <t>Technology generated more revenue</t>
  </si>
  <si>
    <t>3. Mention one product that appears to perform well.</t>
  </si>
  <si>
    <t>Phone appears to perform well</t>
  </si>
  <si>
    <t>Mini Sales Dashboard</t>
  </si>
  <si>
    <t>This page will update as you complete the Analysis sheet.</t>
  </si>
  <si>
    <t>Avg Revenue / Order</t>
  </si>
  <si>
    <t>Order Count</t>
  </si>
  <si>
    <t>Your 3 Insights</t>
  </si>
  <si>
    <t>1. East generated the highest revenue among all regions</t>
  </si>
  <si>
    <t>2. Technology generated more revenue than Furniture</t>
  </si>
  <si>
    <t>3. East had the highest profit among all regions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</si>
</sst>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"/>
    <numFmt numFmtId="179" formatCode="&quot;$&quot;#,##0.00"/>
    <numFmt numFmtId="180" formatCode="dd\-mmm\-yyyy"/>
    <numFmt numFmtId="181" formatCode="0.0%"/>
  </numFmts>
  <fonts count="29">
    <font>
      <sz val="11"/>
      <name val="Carlito"/>
      <charset val="134"/>
    </font>
    <font>
      <b/>
      <sz val="18"/>
      <color rgb="FFFFFFFF"/>
      <name val="Carlito"/>
      <charset val="134"/>
    </font>
    <font>
      <i/>
      <sz val="11"/>
      <color rgb="FF203864"/>
      <name val="Carlito"/>
      <charset val="134"/>
    </font>
    <font>
      <b/>
      <sz val="11"/>
      <color rgb="FFFFFFFF"/>
      <name val="Carlito"/>
      <charset val="134"/>
    </font>
    <font>
      <b/>
      <sz val="14"/>
      <color rgb="FF203864"/>
      <name val="Carlito"/>
      <charset val="134"/>
    </font>
    <font>
      <b/>
      <sz val="11"/>
      <color rgb="FF203864"/>
      <name val="Carlito"/>
      <charset val="134"/>
    </font>
    <font>
      <b/>
      <sz val="16"/>
      <color rgb="FFFFFFFF"/>
      <name val="Carlito"/>
      <charset val="134"/>
    </font>
    <font>
      <sz val="11"/>
      <color rgb="FF7F6000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DE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 vertical="center"/>
    </xf>
    <xf numFmtId="178" fontId="4" fillId="3" borderId="0" xfId="0" applyNumberFormat="1" applyFont="1" applyFill="1" applyBorder="1" applyAlignment="1">
      <alignment horizontal="center" vertical="center"/>
    </xf>
    <xf numFmtId="1" fontId="4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 vertical="center" wrapText="1"/>
    </xf>
    <xf numFmtId="178" fontId="0" fillId="0" borderId="0" xfId="0" applyNumberFormat="1" applyFont="1" applyFill="1" applyBorder="1"/>
    <xf numFmtId="0" fontId="5" fillId="5" borderId="0" xfId="0" applyNumberFormat="1" applyFont="1" applyFill="1" applyBorder="1" applyAlignment="1">
      <alignment vertical="center"/>
    </xf>
    <xf numFmtId="0" fontId="0" fillId="6" borderId="0" xfId="0" applyNumberFormat="1" applyFont="1" applyFill="1" applyBorder="1" applyAlignment="1">
      <alignment wrapText="1"/>
    </xf>
    <xf numFmtId="0" fontId="0" fillId="6" borderId="1" xfId="0" applyNumberFormat="1" applyFont="1" applyFill="1" applyBorder="1" applyAlignment="1">
      <alignment wrapText="1"/>
    </xf>
    <xf numFmtId="0" fontId="6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/>
    <xf numFmtId="179" fontId="7" fillId="7" borderId="0" xfId="0" applyNumberFormat="1" applyFont="1" applyFill="1" applyBorder="1" applyAlignment="1">
      <alignment horizontal="center"/>
    </xf>
    <xf numFmtId="1" fontId="7" fillId="7" borderId="0" xfId="0" applyNumberFormat="1" applyFont="1" applyFill="1" applyBorder="1" applyAlignment="1">
      <alignment horizontal="center"/>
    </xf>
    <xf numFmtId="0" fontId="8" fillId="8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6" borderId="1" xfId="0" applyNumberFormat="1" applyFont="1" applyFill="1" applyBorder="1"/>
    <xf numFmtId="0" fontId="0" fillId="9" borderId="0" xfId="0" applyNumberFormat="1" applyFont="1" applyFill="1" applyBorder="1" applyAlignment="1">
      <alignment wrapText="1"/>
    </xf>
    <xf numFmtId="180" fontId="0" fillId="0" borderId="0" xfId="0" applyNumberFormat="1" applyFont="1" applyFill="1" applyBorder="1"/>
    <xf numFmtId="179" fontId="0" fillId="0" borderId="0" xfId="0" applyNumberFormat="1" applyFont="1" applyFill="1" applyBorder="1"/>
    <xf numFmtId="0" fontId="7" fillId="7" borderId="0" xfId="0" applyNumberFormat="1" applyFont="1" applyFill="1" applyBorder="1" applyAlignment="1">
      <alignment horizontal="center"/>
    </xf>
    <xf numFmtId="181" fontId="7" fillId="7" borderId="0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0" formatCode="General"/>
    </dxf>
    <dxf>
      <numFmt numFmtId="0" formatCode="General"/>
    </dxf>
    <dxf>
      <numFmt numFmtId="179" formatCode="&quot;$&quot;#,##0.00"/>
    </dxf>
    <dxf>
      <numFmt numFmtId="179" formatCode="&quot;$&quot;#,##0.00"/>
    </dxf>
    <dxf>
      <numFmt numFmtId="181" formatCode="0.0%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Revenue by Region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Dashboard!$A$12:$A$15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Dashboard!$B$12:$B$15</c:f>
              <c:numCache>
                <c:formatCode>"$"#,##0</c:formatCode>
                <c:ptCount val="4"/>
                <c:pt idx="0">
                  <c:v>16960</c:v>
                </c:pt>
                <c:pt idx="1">
                  <c:v>12800</c:v>
                </c:pt>
                <c:pt idx="2">
                  <c:v>19670</c:v>
                </c:pt>
                <c:pt idx="3">
                  <c:v>6860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&quot;$&quot;#,##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4798cf9-1665-4893-9d81-088a033777f2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10</xdr:row>
      <xdr:rowOff>0</xdr:rowOff>
    </xdr:from>
    <xdr:to>
      <xdr:col>12</xdr:col>
      <xdr:colOff>0</xdr:colOff>
      <xdr:row>27</xdr:row>
      <xdr:rowOff>0</xdr:rowOff>
    </xdr:to>
    <xdr:graphicFrame>
      <xdr:nvGraphicFramePr>
        <xdr:cNvPr id="2" name="Chart"/>
        <xdr:cNvGraphicFramePr/>
      </xdr:nvGraphicFramePr>
      <xdr:xfrm>
        <a:off x="3657600" y="3048000"/>
        <a:ext cx="7315200" cy="431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ProductMasterTable" displayName="ProductMasterTable" ref="O3:R8" totalsRowShown="0">
  <tableColumns count="4">
    <tableColumn id="1" name="Product Code"/>
    <tableColumn id="2" name="Product"/>
    <tableColumn id="3" name="Category"/>
    <tableColumn id="4" name="Unit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lesTaskTable" displayName="SalesTaskTable" ref="A9:M39" totalsRowShown="0">
  <tableColumns count="13">
    <tableColumn id="1" name="Order ID"/>
    <tableColumn id="2" name="Date"/>
    <tableColumn id="3" name="Region"/>
    <tableColumn id="4" name="Product Code"/>
    <tableColumn id="5" name="Qty"/>
    <tableColumn id="6" name="Cost"/>
    <tableColumn id="7" name="Product" dataDxfId="0">
      <calculatedColumnFormula>_xlfn.XLOOKUP(D10,$O$4:$O$8,$P$4:$P$8)</calculatedColumnFormula>
    </tableColumn>
    <tableColumn id="8" name="Category" dataDxfId="1">
      <calculatedColumnFormula>_xlfn.XLOOKUP(D10,$O$4:$O$8,$Q$4:$Q$8)</calculatedColumnFormula>
    </tableColumn>
    <tableColumn id="9" name="Unit Price" dataDxfId="2">
      <calculatedColumnFormula>_xlfn.XLOOKUP(D10,$O$4:$O$8,$R$4:$R$8)</calculatedColumnFormula>
    </tableColumn>
    <tableColumn id="10" name="Revenue" dataDxfId="3">
      <calculatedColumnFormula>I10*E10</calculatedColumnFormula>
    </tableColumn>
    <tableColumn id="11" name="Profit">
      <calculatedColumnFormula>J10-F10</calculatedColumnFormula>
    </tableColumn>
    <tableColumn id="12" name="Profit Margin" dataDxfId="4">
      <calculatedColumnFormula>K10/J10</calculatedColumnFormula>
    </tableColumn>
    <tableColumn id="13" name="Performance" dataDxfId="5">
      <calculatedColumnFormula>IF(K10&gt;=300,"High Profit","")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topLeftCell="G1" workbookViewId="0">
      <selection activeCell="G38" sqref="G38"/>
    </sheetView>
  </sheetViews>
  <sheetFormatPr defaultColWidth="9" defaultRowHeight="14.25"/>
  <cols>
    <col min="1" max="1" width="12" customWidth="1"/>
    <col min="2" max="2" width="14" customWidth="1"/>
    <col min="3" max="3" width="11" customWidth="1"/>
    <col min="4" max="4" width="14" customWidth="1"/>
    <col min="5" max="5" width="8" customWidth="1"/>
    <col min="6" max="6" width="12" customWidth="1"/>
    <col min="7" max="8" width="14" customWidth="1"/>
    <col min="9" max="11" width="12" customWidth="1"/>
    <col min="12" max="12" width="14" customWidth="1"/>
    <col min="13" max="13" width="16" customWidth="1"/>
    <col min="15" max="17" width="14" customWidth="1"/>
    <col min="18" max="18" width="12" customWidth="1"/>
  </cols>
  <sheetData>
    <row r="1" ht="30" customHeight="1" spans="1:18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O1" s="11" t="s">
        <v>1</v>
      </c>
      <c r="P1" s="11"/>
      <c r="Q1" s="11"/>
      <c r="R1" s="11"/>
    </row>
    <row r="2" ht="20" customHeight="1" spans="1:18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ht="20" customHeight="1" spans="1:18">
      <c r="O3" s="6" t="s">
        <v>3</v>
      </c>
      <c r="P3" s="6" t="s">
        <v>4</v>
      </c>
      <c r="Q3" s="6" t="s">
        <v>5</v>
      </c>
      <c r="R3" s="6" t="s">
        <v>6</v>
      </c>
    </row>
    <row r="4" ht="20" customHeight="1" spans="1:18">
      <c r="A4" s="8" t="s">
        <v>7</v>
      </c>
      <c r="B4" s="19" t="s">
        <v>8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O4" t="s">
        <v>9</v>
      </c>
      <c r="P4" t="s">
        <v>10</v>
      </c>
      <c r="Q4" t="s">
        <v>11</v>
      </c>
      <c r="R4" s="7">
        <v>850</v>
      </c>
    </row>
    <row r="5" ht="20" customHeight="1" spans="1:18">
      <c r="A5" s="8" t="s">
        <v>12</v>
      </c>
      <c r="B5" s="19" t="s">
        <v>13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O5" t="s">
        <v>14</v>
      </c>
      <c r="P5" t="s">
        <v>15</v>
      </c>
      <c r="Q5" t="s">
        <v>11</v>
      </c>
      <c r="R5" s="7">
        <v>220</v>
      </c>
    </row>
    <row r="6" ht="20" customHeight="1" spans="1:18">
      <c r="A6" s="8" t="s">
        <v>16</v>
      </c>
      <c r="B6" s="19" t="s">
        <v>17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O6" t="s">
        <v>18</v>
      </c>
      <c r="P6" t="s">
        <v>19</v>
      </c>
      <c r="Q6" t="s">
        <v>20</v>
      </c>
      <c r="R6" s="7">
        <v>140</v>
      </c>
    </row>
    <row r="7" ht="20" customHeight="1" spans="1:18">
      <c r="O7" t="s">
        <v>21</v>
      </c>
      <c r="P7" t="s">
        <v>22</v>
      </c>
      <c r="Q7" t="s">
        <v>20</v>
      </c>
      <c r="R7" s="7">
        <v>300</v>
      </c>
    </row>
    <row r="8" ht="20" customHeight="1" spans="1:18">
      <c r="O8" t="s">
        <v>23</v>
      </c>
      <c r="P8" t="s">
        <v>24</v>
      </c>
      <c r="Q8" t="s">
        <v>11</v>
      </c>
      <c r="R8" s="7">
        <v>600</v>
      </c>
    </row>
    <row r="9" ht="20" customHeight="1" spans="1:18">
      <c r="A9" s="6" t="s">
        <v>25</v>
      </c>
      <c r="B9" s="6" t="s">
        <v>26</v>
      </c>
      <c r="C9" s="6" t="s">
        <v>27</v>
      </c>
      <c r="D9" s="6" t="s">
        <v>3</v>
      </c>
      <c r="E9" s="6" t="s">
        <v>28</v>
      </c>
      <c r="F9" s="6" t="s">
        <v>29</v>
      </c>
      <c r="G9" s="6" t="s">
        <v>4</v>
      </c>
      <c r="H9" s="6" t="s">
        <v>5</v>
      </c>
      <c r="I9" s="6" t="s">
        <v>6</v>
      </c>
      <c r="J9" s="6" t="s">
        <v>30</v>
      </c>
      <c r="K9" s="6" t="s">
        <v>31</v>
      </c>
      <c r="L9" s="6" t="s">
        <v>32</v>
      </c>
      <c r="M9" s="6" t="s">
        <v>33</v>
      </c>
    </row>
    <row r="10" ht="20" customHeight="1" spans="1:18">
      <c r="A10" t="s">
        <v>34</v>
      </c>
      <c r="B10" s="20">
        <v>46027</v>
      </c>
      <c r="C10" t="s">
        <v>35</v>
      </c>
      <c r="D10" t="s">
        <v>23</v>
      </c>
      <c r="E10">
        <v>5</v>
      </c>
      <c r="F10" s="21">
        <v>2289.58</v>
      </c>
      <c r="G10" s="22" t="str">
        <f t="shared" ref="G10:G39" si="0">_xlfn.XLOOKUP(D10,$O$4:$O$8,$P$4:$P$8)</f>
        <v>Phone</v>
      </c>
      <c r="H10" s="22" t="str">
        <f t="shared" ref="H10:H39" si="1">_xlfn.XLOOKUP(D10,$O$4:$O$8,$Q$4:$Q$8)</f>
        <v>Technology</v>
      </c>
      <c r="I10" s="13">
        <f t="shared" ref="I10:I39" si="2">_xlfn.XLOOKUP(D10,$O$4:$O$8,$R$4:$R$8)</f>
        <v>600</v>
      </c>
      <c r="J10" s="13">
        <f t="shared" ref="J10:J39" si="3">I10*E10</f>
        <v>3000</v>
      </c>
      <c r="K10" s="13">
        <f>J10-F10</f>
        <v>710.42</v>
      </c>
      <c r="L10" s="23">
        <f t="shared" ref="L10:L39" si="4">K10/J10</f>
        <v>0.236806666666667</v>
      </c>
      <c r="M10" s="22" t="str">
        <f t="shared" ref="M10:M39" si="5">IF(K10&gt;=300,"High Profit","")</f>
        <v>High Profit</v>
      </c>
    </row>
    <row r="11" ht="20" customHeight="1" spans="1:18">
      <c r="A11" t="s">
        <v>36</v>
      </c>
      <c r="B11" s="20">
        <v>46031</v>
      </c>
      <c r="C11" t="s">
        <v>35</v>
      </c>
      <c r="D11" t="s">
        <v>21</v>
      </c>
      <c r="E11">
        <v>4</v>
      </c>
      <c r="F11" s="21">
        <v>891.33</v>
      </c>
      <c r="G11" s="22" t="str">
        <f t="shared" si="0"/>
        <v>Desk</v>
      </c>
      <c r="H11" s="22" t="str">
        <f t="shared" si="1"/>
        <v>Furniture</v>
      </c>
      <c r="I11" s="13">
        <f t="shared" si="2"/>
        <v>300</v>
      </c>
      <c r="J11" s="13">
        <f t="shared" si="3"/>
        <v>1200</v>
      </c>
      <c r="K11" s="13">
        <f t="shared" ref="K11:K39" si="6">J11-F11</f>
        <v>308.67</v>
      </c>
      <c r="L11" s="23">
        <f t="shared" si="4"/>
        <v>0.257225</v>
      </c>
      <c r="M11" s="22" t="str">
        <f t="shared" si="5"/>
        <v>High Profit</v>
      </c>
    </row>
    <row r="12" ht="20" customHeight="1" spans="1:18">
      <c r="A12" t="s">
        <v>37</v>
      </c>
      <c r="B12" s="20">
        <v>46035</v>
      </c>
      <c r="C12" t="s">
        <v>35</v>
      </c>
      <c r="D12" t="s">
        <v>18</v>
      </c>
      <c r="E12">
        <v>8</v>
      </c>
      <c r="F12" s="21">
        <v>885.98</v>
      </c>
      <c r="G12" s="22" t="str">
        <f t="shared" si="0"/>
        <v>Chair</v>
      </c>
      <c r="H12" s="22" t="str">
        <f t="shared" si="1"/>
        <v>Furniture</v>
      </c>
      <c r="I12" s="13">
        <f t="shared" si="2"/>
        <v>140</v>
      </c>
      <c r="J12" s="13">
        <f t="shared" si="3"/>
        <v>1120</v>
      </c>
      <c r="K12" s="13">
        <f t="shared" si="6"/>
        <v>234.02</v>
      </c>
      <c r="L12" s="23">
        <f t="shared" si="4"/>
        <v>0.208946428571429</v>
      </c>
      <c r="M12" s="22" t="str">
        <f t="shared" si="5"/>
        <v/>
      </c>
    </row>
    <row r="13" ht="20" customHeight="1" spans="1:18">
      <c r="A13" t="s">
        <v>38</v>
      </c>
      <c r="B13" s="20">
        <v>46039</v>
      </c>
      <c r="C13" t="s">
        <v>39</v>
      </c>
      <c r="D13" t="s">
        <v>23</v>
      </c>
      <c r="E13">
        <v>4</v>
      </c>
      <c r="F13" s="21">
        <v>1446.92</v>
      </c>
      <c r="G13" s="22" t="str">
        <f t="shared" si="0"/>
        <v>Phone</v>
      </c>
      <c r="H13" s="22" t="str">
        <f t="shared" si="1"/>
        <v>Technology</v>
      </c>
      <c r="I13" s="13">
        <f t="shared" si="2"/>
        <v>600</v>
      </c>
      <c r="J13" s="13">
        <f t="shared" si="3"/>
        <v>2400</v>
      </c>
      <c r="K13" s="13">
        <f t="shared" si="6"/>
        <v>953.08</v>
      </c>
      <c r="L13" s="23">
        <f t="shared" si="4"/>
        <v>0.397116666666667</v>
      </c>
      <c r="M13" s="22" t="str">
        <f t="shared" si="5"/>
        <v>High Profit</v>
      </c>
    </row>
    <row r="14" ht="20" customHeight="1" spans="1:18">
      <c r="A14" t="s">
        <v>40</v>
      </c>
      <c r="B14" s="20">
        <v>46043</v>
      </c>
      <c r="C14" t="s">
        <v>39</v>
      </c>
      <c r="D14" t="s">
        <v>18</v>
      </c>
      <c r="E14">
        <v>3</v>
      </c>
      <c r="F14" s="21">
        <v>336.67</v>
      </c>
      <c r="G14" s="22" t="str">
        <f t="shared" si="0"/>
        <v>Chair</v>
      </c>
      <c r="H14" s="22" t="str">
        <f t="shared" si="1"/>
        <v>Furniture</v>
      </c>
      <c r="I14" s="13">
        <f t="shared" si="2"/>
        <v>140</v>
      </c>
      <c r="J14" s="13">
        <f t="shared" si="3"/>
        <v>420</v>
      </c>
      <c r="K14" s="13">
        <f t="shared" si="6"/>
        <v>83.33</v>
      </c>
      <c r="L14" s="23">
        <f t="shared" si="4"/>
        <v>0.198404761904762</v>
      </c>
      <c r="M14" s="22" t="str">
        <f t="shared" si="5"/>
        <v/>
      </c>
    </row>
    <row r="15" ht="20" customHeight="1" spans="1:18">
      <c r="A15" t="s">
        <v>41</v>
      </c>
      <c r="B15" s="20">
        <v>46042</v>
      </c>
      <c r="C15" t="s">
        <v>39</v>
      </c>
      <c r="D15" t="s">
        <v>14</v>
      </c>
      <c r="E15">
        <v>2</v>
      </c>
      <c r="F15" s="21">
        <v>277.43</v>
      </c>
      <c r="G15" s="22" t="str">
        <f t="shared" si="0"/>
        <v>Monitor</v>
      </c>
      <c r="H15" s="22" t="str">
        <f t="shared" si="1"/>
        <v>Technology</v>
      </c>
      <c r="I15" s="13">
        <f t="shared" si="2"/>
        <v>220</v>
      </c>
      <c r="J15" s="13">
        <f t="shared" si="3"/>
        <v>440</v>
      </c>
      <c r="K15" s="13">
        <f t="shared" si="6"/>
        <v>162.57</v>
      </c>
      <c r="L15" s="23">
        <f t="shared" si="4"/>
        <v>0.369477272727273</v>
      </c>
      <c r="M15" s="22" t="str">
        <f t="shared" si="5"/>
        <v/>
      </c>
    </row>
    <row r="16" ht="20" customHeight="1" spans="1:18">
      <c r="A16" t="s">
        <v>42</v>
      </c>
      <c r="B16" s="20">
        <v>46046</v>
      </c>
      <c r="C16" t="s">
        <v>43</v>
      </c>
      <c r="D16" t="s">
        <v>14</v>
      </c>
      <c r="E16">
        <v>3</v>
      </c>
      <c r="F16" s="21">
        <v>396.26</v>
      </c>
      <c r="G16" s="22" t="str">
        <f t="shared" si="0"/>
        <v>Monitor</v>
      </c>
      <c r="H16" s="22" t="str">
        <f t="shared" si="1"/>
        <v>Technology</v>
      </c>
      <c r="I16" s="13">
        <f t="shared" si="2"/>
        <v>220</v>
      </c>
      <c r="J16" s="13">
        <f t="shared" si="3"/>
        <v>660</v>
      </c>
      <c r="K16" s="13">
        <f t="shared" si="6"/>
        <v>263.74</v>
      </c>
      <c r="L16" s="23">
        <f t="shared" si="4"/>
        <v>0.399606060606061</v>
      </c>
      <c r="M16" s="22" t="str">
        <f t="shared" si="5"/>
        <v/>
      </c>
    </row>
    <row r="17" ht="20" customHeight="1" spans="1:13">
      <c r="A17" t="s">
        <v>44</v>
      </c>
      <c r="B17" s="20">
        <v>46050</v>
      </c>
      <c r="C17" t="s">
        <v>45</v>
      </c>
      <c r="D17" t="s">
        <v>14</v>
      </c>
      <c r="E17">
        <v>3</v>
      </c>
      <c r="F17" s="21">
        <v>522.67</v>
      </c>
      <c r="G17" s="22" t="str">
        <f t="shared" si="0"/>
        <v>Monitor</v>
      </c>
      <c r="H17" s="22" t="str">
        <f t="shared" si="1"/>
        <v>Technology</v>
      </c>
      <c r="I17" s="13">
        <f t="shared" si="2"/>
        <v>220</v>
      </c>
      <c r="J17" s="13">
        <f t="shared" si="3"/>
        <v>660</v>
      </c>
      <c r="K17" s="13">
        <f t="shared" si="6"/>
        <v>137.33</v>
      </c>
      <c r="L17" s="23">
        <f t="shared" si="4"/>
        <v>0.208075757575758</v>
      </c>
      <c r="M17" s="22" t="str">
        <f t="shared" si="5"/>
        <v/>
      </c>
    </row>
    <row r="18" ht="20" customHeight="1" spans="1:13">
      <c r="A18" t="s">
        <v>46</v>
      </c>
      <c r="B18" s="20">
        <v>46054</v>
      </c>
      <c r="C18" t="s">
        <v>43</v>
      </c>
      <c r="D18" t="s">
        <v>14</v>
      </c>
      <c r="E18">
        <v>9</v>
      </c>
      <c r="F18" s="21">
        <v>1569.64</v>
      </c>
      <c r="G18" s="22" t="str">
        <f t="shared" si="0"/>
        <v>Monitor</v>
      </c>
      <c r="H18" s="22" t="str">
        <f t="shared" si="1"/>
        <v>Technology</v>
      </c>
      <c r="I18" s="13">
        <f t="shared" si="2"/>
        <v>220</v>
      </c>
      <c r="J18" s="13">
        <f t="shared" si="3"/>
        <v>1980</v>
      </c>
      <c r="K18" s="13">
        <f t="shared" si="6"/>
        <v>410.36</v>
      </c>
      <c r="L18" s="23">
        <f t="shared" si="4"/>
        <v>0.207252525252525</v>
      </c>
      <c r="M18" s="22" t="str">
        <f t="shared" si="5"/>
        <v>High Profit</v>
      </c>
    </row>
    <row r="19" ht="20" customHeight="1" spans="1:13">
      <c r="A19" t="s">
        <v>47</v>
      </c>
      <c r="B19" s="20">
        <v>46058</v>
      </c>
      <c r="C19" t="s">
        <v>45</v>
      </c>
      <c r="D19" t="s">
        <v>14</v>
      </c>
      <c r="E19">
        <v>4</v>
      </c>
      <c r="F19" s="21">
        <v>715.13</v>
      </c>
      <c r="G19" s="22" t="str">
        <f t="shared" si="0"/>
        <v>Monitor</v>
      </c>
      <c r="H19" s="22" t="str">
        <f t="shared" si="1"/>
        <v>Technology</v>
      </c>
      <c r="I19" s="13">
        <f t="shared" si="2"/>
        <v>220</v>
      </c>
      <c r="J19" s="13">
        <f t="shared" si="3"/>
        <v>880</v>
      </c>
      <c r="K19" s="13">
        <f t="shared" si="6"/>
        <v>164.87</v>
      </c>
      <c r="L19" s="23">
        <f t="shared" si="4"/>
        <v>0.187352272727273</v>
      </c>
      <c r="M19" s="22" t="str">
        <f t="shared" si="5"/>
        <v/>
      </c>
    </row>
    <row r="20" ht="20" customHeight="1" spans="1:13">
      <c r="A20" t="s">
        <v>48</v>
      </c>
      <c r="B20" s="20">
        <v>46057</v>
      </c>
      <c r="C20" t="s">
        <v>45</v>
      </c>
      <c r="D20" t="s">
        <v>9</v>
      </c>
      <c r="E20">
        <v>6</v>
      </c>
      <c r="F20" s="21">
        <v>3525.53</v>
      </c>
      <c r="G20" s="22" t="str">
        <f t="shared" si="0"/>
        <v>Laptop</v>
      </c>
      <c r="H20" s="22" t="str">
        <f t="shared" si="1"/>
        <v>Technology</v>
      </c>
      <c r="I20" s="13">
        <f t="shared" si="2"/>
        <v>850</v>
      </c>
      <c r="J20" s="13">
        <f t="shared" si="3"/>
        <v>5100</v>
      </c>
      <c r="K20" s="13">
        <f t="shared" si="6"/>
        <v>1574.47</v>
      </c>
      <c r="L20" s="23">
        <f t="shared" si="4"/>
        <v>0.308719607843137</v>
      </c>
      <c r="M20" s="22" t="str">
        <f t="shared" si="5"/>
        <v>High Profit</v>
      </c>
    </row>
    <row r="21" ht="20" customHeight="1" spans="1:13">
      <c r="A21" t="s">
        <v>49</v>
      </c>
      <c r="B21" s="20">
        <v>46061</v>
      </c>
      <c r="C21" t="s">
        <v>35</v>
      </c>
      <c r="D21" t="s">
        <v>9</v>
      </c>
      <c r="E21">
        <v>6</v>
      </c>
      <c r="F21" s="21">
        <v>3398.12</v>
      </c>
      <c r="G21" s="22" t="str">
        <f t="shared" si="0"/>
        <v>Laptop</v>
      </c>
      <c r="H21" s="22" t="str">
        <f t="shared" si="1"/>
        <v>Technology</v>
      </c>
      <c r="I21" s="13">
        <f t="shared" si="2"/>
        <v>850</v>
      </c>
      <c r="J21" s="13">
        <f t="shared" si="3"/>
        <v>5100</v>
      </c>
      <c r="K21" s="13">
        <f t="shared" si="6"/>
        <v>1701.88</v>
      </c>
      <c r="L21" s="23">
        <f t="shared" si="4"/>
        <v>0.333701960784314</v>
      </c>
      <c r="M21" s="22" t="str">
        <f t="shared" si="5"/>
        <v>High Profit</v>
      </c>
    </row>
    <row r="22" ht="20" customHeight="1" spans="1:13">
      <c r="A22" t="s">
        <v>50</v>
      </c>
      <c r="B22" s="20">
        <v>46065</v>
      </c>
      <c r="C22" t="s">
        <v>45</v>
      </c>
      <c r="D22" t="s">
        <v>23</v>
      </c>
      <c r="E22">
        <v>6</v>
      </c>
      <c r="F22" s="21">
        <v>2212.29</v>
      </c>
      <c r="G22" s="22" t="str">
        <f t="shared" si="0"/>
        <v>Phone</v>
      </c>
      <c r="H22" s="22" t="str">
        <f t="shared" si="1"/>
        <v>Technology</v>
      </c>
      <c r="I22" s="13">
        <f t="shared" si="2"/>
        <v>600</v>
      </c>
      <c r="J22" s="13">
        <f t="shared" si="3"/>
        <v>3600</v>
      </c>
      <c r="K22" s="13">
        <f t="shared" si="6"/>
        <v>1387.71</v>
      </c>
      <c r="L22" s="23">
        <f t="shared" si="4"/>
        <v>0.385475</v>
      </c>
      <c r="M22" s="22" t="str">
        <f t="shared" si="5"/>
        <v>High Profit</v>
      </c>
    </row>
    <row r="23" ht="20" customHeight="1" spans="1:13">
      <c r="A23" t="s">
        <v>51</v>
      </c>
      <c r="B23" s="20">
        <v>46069</v>
      </c>
      <c r="C23" t="s">
        <v>43</v>
      </c>
      <c r="D23" t="s">
        <v>21</v>
      </c>
      <c r="E23">
        <v>6</v>
      </c>
      <c r="F23" s="21">
        <v>1153.17</v>
      </c>
      <c r="G23" s="22" t="str">
        <f t="shared" si="0"/>
        <v>Desk</v>
      </c>
      <c r="H23" s="22" t="str">
        <f t="shared" si="1"/>
        <v>Furniture</v>
      </c>
      <c r="I23" s="13">
        <f t="shared" si="2"/>
        <v>300</v>
      </c>
      <c r="J23" s="13">
        <f t="shared" si="3"/>
        <v>1800</v>
      </c>
      <c r="K23" s="13">
        <f t="shared" si="6"/>
        <v>646.83</v>
      </c>
      <c r="L23" s="23">
        <f t="shared" si="4"/>
        <v>0.35935</v>
      </c>
      <c r="M23" s="22" t="str">
        <f t="shared" si="5"/>
        <v>High Profit</v>
      </c>
    </row>
    <row r="24" ht="20" customHeight="1" spans="1:13">
      <c r="A24" t="s">
        <v>52</v>
      </c>
      <c r="B24" s="20">
        <v>46073</v>
      </c>
      <c r="C24" t="s">
        <v>45</v>
      </c>
      <c r="D24" t="s">
        <v>9</v>
      </c>
      <c r="E24">
        <v>5</v>
      </c>
      <c r="F24" s="21">
        <v>3461.72</v>
      </c>
      <c r="G24" s="22" t="str">
        <f t="shared" si="0"/>
        <v>Laptop</v>
      </c>
      <c r="H24" s="22" t="str">
        <f t="shared" si="1"/>
        <v>Technology</v>
      </c>
      <c r="I24" s="13">
        <f t="shared" si="2"/>
        <v>850</v>
      </c>
      <c r="J24" s="13">
        <f t="shared" si="3"/>
        <v>4250</v>
      </c>
      <c r="K24" s="13">
        <f t="shared" si="6"/>
        <v>788.28</v>
      </c>
      <c r="L24" s="23">
        <f t="shared" si="4"/>
        <v>0.185477647058824</v>
      </c>
      <c r="M24" s="22" t="str">
        <f t="shared" si="5"/>
        <v>High Profit</v>
      </c>
    </row>
    <row r="25" ht="20" customHeight="1" spans="1:13">
      <c r="A25" t="s">
        <v>53</v>
      </c>
      <c r="B25" s="20">
        <v>46072</v>
      </c>
      <c r="C25" t="s">
        <v>45</v>
      </c>
      <c r="D25" t="s">
        <v>21</v>
      </c>
      <c r="E25">
        <v>1</v>
      </c>
      <c r="F25" s="21">
        <v>216.24</v>
      </c>
      <c r="G25" s="22" t="str">
        <f t="shared" si="0"/>
        <v>Desk</v>
      </c>
      <c r="H25" s="22" t="str">
        <f t="shared" si="1"/>
        <v>Furniture</v>
      </c>
      <c r="I25" s="13">
        <f t="shared" si="2"/>
        <v>300</v>
      </c>
      <c r="J25" s="13">
        <f t="shared" si="3"/>
        <v>300</v>
      </c>
      <c r="K25" s="13">
        <f t="shared" si="6"/>
        <v>83.76</v>
      </c>
      <c r="L25" s="23">
        <f t="shared" si="4"/>
        <v>0.2792</v>
      </c>
      <c r="M25" s="22" t="str">
        <f t="shared" si="5"/>
        <v/>
      </c>
    </row>
    <row r="26" ht="20" customHeight="1" spans="1:13">
      <c r="A26" t="s">
        <v>54</v>
      </c>
      <c r="B26" s="20">
        <v>46076</v>
      </c>
      <c r="C26" t="s">
        <v>35</v>
      </c>
      <c r="D26" t="s">
        <v>21</v>
      </c>
      <c r="E26">
        <v>10</v>
      </c>
      <c r="F26" s="21">
        <v>2355.21</v>
      </c>
      <c r="G26" s="22" t="str">
        <f t="shared" si="0"/>
        <v>Desk</v>
      </c>
      <c r="H26" s="22" t="str">
        <f t="shared" si="1"/>
        <v>Furniture</v>
      </c>
      <c r="I26" s="13">
        <f t="shared" si="2"/>
        <v>300</v>
      </c>
      <c r="J26" s="13">
        <f t="shared" si="3"/>
        <v>3000</v>
      </c>
      <c r="K26" s="13">
        <f t="shared" si="6"/>
        <v>644.79</v>
      </c>
      <c r="L26" s="23">
        <f t="shared" si="4"/>
        <v>0.21493</v>
      </c>
      <c r="M26" s="22" t="str">
        <f t="shared" si="5"/>
        <v>High Profit</v>
      </c>
    </row>
    <row r="27" ht="20" customHeight="1" spans="1:13">
      <c r="A27" t="s">
        <v>55</v>
      </c>
      <c r="B27" s="20">
        <v>46080</v>
      </c>
      <c r="C27" t="s">
        <v>35</v>
      </c>
      <c r="D27" t="s">
        <v>14</v>
      </c>
      <c r="E27">
        <v>10</v>
      </c>
      <c r="F27" s="21">
        <v>1782.31</v>
      </c>
      <c r="G27" s="22" t="str">
        <f t="shared" si="0"/>
        <v>Monitor</v>
      </c>
      <c r="H27" s="22" t="str">
        <f t="shared" si="1"/>
        <v>Technology</v>
      </c>
      <c r="I27" s="13">
        <f t="shared" si="2"/>
        <v>220</v>
      </c>
      <c r="J27" s="13">
        <f t="shared" si="3"/>
        <v>2200</v>
      </c>
      <c r="K27" s="13">
        <f t="shared" si="6"/>
        <v>417.69</v>
      </c>
      <c r="L27" s="23">
        <f t="shared" si="4"/>
        <v>0.189859090909091</v>
      </c>
      <c r="M27" s="22" t="str">
        <f t="shared" si="5"/>
        <v>High Profit</v>
      </c>
    </row>
    <row r="28" ht="20" customHeight="1" spans="1:13">
      <c r="A28" t="s">
        <v>56</v>
      </c>
      <c r="B28" s="20">
        <v>46084</v>
      </c>
      <c r="C28" t="s">
        <v>45</v>
      </c>
      <c r="D28" t="s">
        <v>14</v>
      </c>
      <c r="E28">
        <v>8</v>
      </c>
      <c r="F28" s="21">
        <v>1189.34</v>
      </c>
      <c r="G28" s="22" t="str">
        <f t="shared" si="0"/>
        <v>Monitor</v>
      </c>
      <c r="H28" s="22" t="str">
        <f t="shared" si="1"/>
        <v>Technology</v>
      </c>
      <c r="I28" s="13">
        <f t="shared" si="2"/>
        <v>220</v>
      </c>
      <c r="J28" s="13">
        <f t="shared" si="3"/>
        <v>1760</v>
      </c>
      <c r="K28" s="13">
        <f t="shared" si="6"/>
        <v>570.66</v>
      </c>
      <c r="L28" s="23">
        <f t="shared" si="4"/>
        <v>0.324238636363636</v>
      </c>
      <c r="M28" s="22" t="str">
        <f t="shared" si="5"/>
        <v>High Profit</v>
      </c>
    </row>
    <row r="29" ht="20" customHeight="1" spans="1:13">
      <c r="A29" t="s">
        <v>57</v>
      </c>
      <c r="B29" s="20">
        <v>46088</v>
      </c>
      <c r="C29" t="s">
        <v>45</v>
      </c>
      <c r="D29" t="s">
        <v>21</v>
      </c>
      <c r="E29">
        <v>2</v>
      </c>
      <c r="F29" s="21">
        <v>437.85</v>
      </c>
      <c r="G29" s="22" t="str">
        <f t="shared" si="0"/>
        <v>Desk</v>
      </c>
      <c r="H29" s="22" t="str">
        <f t="shared" si="1"/>
        <v>Furniture</v>
      </c>
      <c r="I29" s="13">
        <f t="shared" si="2"/>
        <v>300</v>
      </c>
      <c r="J29" s="13">
        <f t="shared" si="3"/>
        <v>600</v>
      </c>
      <c r="K29" s="13">
        <f t="shared" si="6"/>
        <v>162.15</v>
      </c>
      <c r="L29" s="23">
        <f t="shared" si="4"/>
        <v>0.27025</v>
      </c>
      <c r="M29" s="22" t="str">
        <f t="shared" si="5"/>
        <v/>
      </c>
    </row>
    <row r="30" ht="20" customHeight="1" spans="1:13">
      <c r="A30" t="s">
        <v>58</v>
      </c>
      <c r="B30" s="20">
        <v>46087</v>
      </c>
      <c r="C30" t="s">
        <v>43</v>
      </c>
      <c r="D30" t="s">
        <v>18</v>
      </c>
      <c r="E30">
        <v>1</v>
      </c>
      <c r="F30" s="21">
        <v>97.34</v>
      </c>
      <c r="G30" s="22" t="str">
        <f t="shared" si="0"/>
        <v>Chair</v>
      </c>
      <c r="H30" s="22" t="str">
        <f t="shared" si="1"/>
        <v>Furniture</v>
      </c>
      <c r="I30" s="13">
        <f t="shared" si="2"/>
        <v>140</v>
      </c>
      <c r="J30" s="13">
        <f t="shared" si="3"/>
        <v>140</v>
      </c>
      <c r="K30" s="13">
        <f t="shared" si="6"/>
        <v>42.66</v>
      </c>
      <c r="L30" s="23">
        <f t="shared" si="4"/>
        <v>0.304714285714286</v>
      </c>
      <c r="M30" s="22" t="str">
        <f t="shared" si="5"/>
        <v/>
      </c>
    </row>
    <row r="31" ht="20" customHeight="1" spans="1:13">
      <c r="A31" t="s">
        <v>59</v>
      </c>
      <c r="B31" s="20">
        <v>46091</v>
      </c>
      <c r="C31" t="s">
        <v>45</v>
      </c>
      <c r="D31" t="s">
        <v>18</v>
      </c>
      <c r="E31">
        <v>9</v>
      </c>
      <c r="F31" s="21">
        <v>925.32</v>
      </c>
      <c r="G31" s="22" t="str">
        <f t="shared" si="0"/>
        <v>Chair</v>
      </c>
      <c r="H31" s="22" t="str">
        <f t="shared" si="1"/>
        <v>Furniture</v>
      </c>
      <c r="I31" s="13">
        <f t="shared" si="2"/>
        <v>140</v>
      </c>
      <c r="J31" s="13">
        <f t="shared" si="3"/>
        <v>1260</v>
      </c>
      <c r="K31" s="13">
        <f t="shared" si="6"/>
        <v>334.68</v>
      </c>
      <c r="L31" s="23">
        <f t="shared" si="4"/>
        <v>0.265619047619048</v>
      </c>
      <c r="M31" s="22" t="str">
        <f t="shared" si="5"/>
        <v>High Profit</v>
      </c>
    </row>
    <row r="32" ht="20" customHeight="1" spans="1:13">
      <c r="A32" t="s">
        <v>60</v>
      </c>
      <c r="B32" s="20">
        <v>46095</v>
      </c>
      <c r="C32" t="s">
        <v>45</v>
      </c>
      <c r="D32" t="s">
        <v>18</v>
      </c>
      <c r="E32">
        <v>9</v>
      </c>
      <c r="F32" s="21">
        <v>781.52</v>
      </c>
      <c r="G32" s="22" t="str">
        <f t="shared" si="0"/>
        <v>Chair</v>
      </c>
      <c r="H32" s="22" t="str">
        <f t="shared" si="1"/>
        <v>Furniture</v>
      </c>
      <c r="I32" s="13">
        <f t="shared" si="2"/>
        <v>140</v>
      </c>
      <c r="J32" s="13">
        <f t="shared" si="3"/>
        <v>1260</v>
      </c>
      <c r="K32" s="13">
        <f t="shared" si="6"/>
        <v>478.48</v>
      </c>
      <c r="L32" s="23">
        <f t="shared" si="4"/>
        <v>0.379746031746032</v>
      </c>
      <c r="M32" s="22" t="str">
        <f t="shared" si="5"/>
        <v>High Profit</v>
      </c>
    </row>
    <row r="33" ht="20" customHeight="1" spans="1:13">
      <c r="A33" t="s">
        <v>61</v>
      </c>
      <c r="B33" s="20">
        <v>46099</v>
      </c>
      <c r="C33" t="s">
        <v>43</v>
      </c>
      <c r="D33" t="s">
        <v>18</v>
      </c>
      <c r="E33">
        <v>3</v>
      </c>
      <c r="F33" s="21">
        <v>325.81</v>
      </c>
      <c r="G33" s="22" t="str">
        <f t="shared" si="0"/>
        <v>Chair</v>
      </c>
      <c r="H33" s="22" t="str">
        <f t="shared" si="1"/>
        <v>Furniture</v>
      </c>
      <c r="I33" s="13">
        <f t="shared" si="2"/>
        <v>140</v>
      </c>
      <c r="J33" s="13">
        <f t="shared" si="3"/>
        <v>420</v>
      </c>
      <c r="K33" s="13">
        <f t="shared" si="6"/>
        <v>94.19</v>
      </c>
      <c r="L33" s="23">
        <f t="shared" si="4"/>
        <v>0.224261904761905</v>
      </c>
      <c r="M33" s="22" t="str">
        <f t="shared" si="5"/>
        <v/>
      </c>
    </row>
    <row r="34" ht="20" customHeight="1" spans="1:13">
      <c r="A34" t="s">
        <v>62</v>
      </c>
      <c r="B34" s="20">
        <v>46103</v>
      </c>
      <c r="C34" t="s">
        <v>35</v>
      </c>
      <c r="D34" t="s">
        <v>18</v>
      </c>
      <c r="E34">
        <v>8</v>
      </c>
      <c r="F34" s="21">
        <v>711.8</v>
      </c>
      <c r="G34" s="22" t="str">
        <f t="shared" si="0"/>
        <v>Chair</v>
      </c>
      <c r="H34" s="22" t="str">
        <f t="shared" si="1"/>
        <v>Furniture</v>
      </c>
      <c r="I34" s="13">
        <f t="shared" si="2"/>
        <v>140</v>
      </c>
      <c r="J34" s="13">
        <f t="shared" si="3"/>
        <v>1120</v>
      </c>
      <c r="K34" s="13">
        <f t="shared" si="6"/>
        <v>408.2</v>
      </c>
      <c r="L34" s="23">
        <f t="shared" si="4"/>
        <v>0.364464285714286</v>
      </c>
      <c r="M34" s="22" t="str">
        <f t="shared" si="5"/>
        <v>High Profit</v>
      </c>
    </row>
    <row r="35" ht="20" customHeight="1" spans="1:13">
      <c r="A35" t="s">
        <v>63</v>
      </c>
      <c r="B35" s="20">
        <v>46102</v>
      </c>
      <c r="C35" t="s">
        <v>43</v>
      </c>
      <c r="D35" t="s">
        <v>23</v>
      </c>
      <c r="E35">
        <v>9</v>
      </c>
      <c r="F35" s="21">
        <v>4337.24</v>
      </c>
      <c r="G35" s="22" t="str">
        <f t="shared" si="0"/>
        <v>Phone</v>
      </c>
      <c r="H35" s="22" t="str">
        <f t="shared" si="1"/>
        <v>Technology</v>
      </c>
      <c r="I35" s="13">
        <f t="shared" si="2"/>
        <v>600</v>
      </c>
      <c r="J35" s="13">
        <f t="shared" si="3"/>
        <v>5400</v>
      </c>
      <c r="K35" s="13">
        <f t="shared" si="6"/>
        <v>1062.76</v>
      </c>
      <c r="L35" s="23">
        <f t="shared" si="4"/>
        <v>0.196807407407407</v>
      </c>
      <c r="M35" s="22" t="str">
        <f t="shared" si="5"/>
        <v>High Profit</v>
      </c>
    </row>
    <row r="36" ht="20" customHeight="1" spans="1:13">
      <c r="A36" t="s">
        <v>64</v>
      </c>
      <c r="B36" s="20">
        <v>46106</v>
      </c>
      <c r="C36" t="s">
        <v>39</v>
      </c>
      <c r="D36" t="s">
        <v>23</v>
      </c>
      <c r="E36">
        <v>6</v>
      </c>
      <c r="F36" s="21">
        <v>2814.43</v>
      </c>
      <c r="G36" s="22" t="str">
        <f t="shared" si="0"/>
        <v>Phone</v>
      </c>
      <c r="H36" s="22" t="str">
        <f t="shared" si="1"/>
        <v>Technology</v>
      </c>
      <c r="I36" s="13">
        <f t="shared" si="2"/>
        <v>600</v>
      </c>
      <c r="J36" s="13">
        <f t="shared" si="3"/>
        <v>3600</v>
      </c>
      <c r="K36" s="13">
        <f t="shared" si="6"/>
        <v>785.57</v>
      </c>
      <c r="L36" s="23">
        <f t="shared" si="4"/>
        <v>0.218213888888889</v>
      </c>
      <c r="M36" s="22" t="str">
        <f t="shared" si="5"/>
        <v>High Profit</v>
      </c>
    </row>
    <row r="37" ht="20" customHeight="1" spans="1:13">
      <c r="A37" t="s">
        <v>65</v>
      </c>
      <c r="B37" s="20">
        <v>46110</v>
      </c>
      <c r="C37" t="s">
        <v>35</v>
      </c>
      <c r="D37" t="s">
        <v>14</v>
      </c>
      <c r="E37">
        <v>1</v>
      </c>
      <c r="F37" s="21">
        <v>179.39</v>
      </c>
      <c r="G37" s="22" t="str">
        <f t="shared" si="0"/>
        <v>Monitor</v>
      </c>
      <c r="H37" s="22" t="str">
        <f t="shared" si="1"/>
        <v>Technology</v>
      </c>
      <c r="I37" s="13">
        <f t="shared" si="2"/>
        <v>220</v>
      </c>
      <c r="J37" s="13">
        <f t="shared" si="3"/>
        <v>220</v>
      </c>
      <c r="K37" s="13">
        <f t="shared" si="6"/>
        <v>40.61</v>
      </c>
      <c r="L37" s="23">
        <f t="shared" si="4"/>
        <v>0.184590909090909</v>
      </c>
      <c r="M37" s="22" t="str">
        <f t="shared" si="5"/>
        <v/>
      </c>
    </row>
    <row r="38" ht="20" customHeight="1" spans="1:13">
      <c r="A38" t="s">
        <v>66</v>
      </c>
      <c r="B38" s="20">
        <v>46114</v>
      </c>
      <c r="C38" t="s">
        <v>43</v>
      </c>
      <c r="D38" t="s">
        <v>21</v>
      </c>
      <c r="E38">
        <v>6</v>
      </c>
      <c r="F38" s="21">
        <v>1412.02</v>
      </c>
      <c r="G38" s="22" t="str">
        <f t="shared" si="0"/>
        <v>Desk</v>
      </c>
      <c r="H38" s="22" t="str">
        <f t="shared" si="1"/>
        <v>Furniture</v>
      </c>
      <c r="I38" s="13">
        <f t="shared" si="2"/>
        <v>300</v>
      </c>
      <c r="J38" s="13">
        <f t="shared" si="3"/>
        <v>1800</v>
      </c>
      <c r="K38" s="13">
        <f t="shared" si="6"/>
        <v>387.98</v>
      </c>
      <c r="L38" s="23">
        <f t="shared" si="4"/>
        <v>0.215544444444444</v>
      </c>
      <c r="M38" s="22" t="str">
        <f t="shared" si="5"/>
        <v>High Profit</v>
      </c>
    </row>
    <row r="39" ht="20" customHeight="1" spans="1:13">
      <c r="A39" t="s">
        <v>67</v>
      </c>
      <c r="B39" s="20">
        <v>46118</v>
      </c>
      <c r="C39" t="s">
        <v>43</v>
      </c>
      <c r="D39" t="s">
        <v>21</v>
      </c>
      <c r="E39">
        <v>2</v>
      </c>
      <c r="F39" s="21">
        <v>382.28</v>
      </c>
      <c r="G39" s="22" t="str">
        <f t="shared" si="0"/>
        <v>Desk</v>
      </c>
      <c r="H39" s="22" t="str">
        <f t="shared" si="1"/>
        <v>Furniture</v>
      </c>
      <c r="I39" s="13">
        <f t="shared" si="2"/>
        <v>300</v>
      </c>
      <c r="J39" s="13">
        <f t="shared" si="3"/>
        <v>600</v>
      </c>
      <c r="K39" s="13">
        <f t="shared" si="6"/>
        <v>217.72</v>
      </c>
      <c r="L39" s="23">
        <f t="shared" si="4"/>
        <v>0.362866666666667</v>
      </c>
      <c r="M39" s="22" t="str">
        <f t="shared" si="5"/>
        <v/>
      </c>
    </row>
  </sheetData>
  <mergeCells count="6">
    <mergeCell ref="A1:M1"/>
    <mergeCell ref="O1:R1"/>
    <mergeCell ref="A2:M2"/>
    <mergeCell ref="B4:M4"/>
    <mergeCell ref="B5:M5"/>
    <mergeCell ref="B6:M6"/>
  </mergeCells>
  <conditionalFormatting sqref="K10:K3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headerFooter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opLeftCell="A9" workbookViewId="0">
      <selection activeCell="D4" sqref="D4:F9"/>
    </sheetView>
  </sheetViews>
  <sheetFormatPr defaultColWidth="9" defaultRowHeight="14.25" outlineLevelCol="7"/>
  <cols>
    <col min="1" max="1" width="28" customWidth="1"/>
    <col min="2" max="2" width="22" customWidth="1"/>
    <col min="3" max="3" width="4" customWidth="1"/>
    <col min="4" max="6" width="16" customWidth="1"/>
    <col min="7" max="8" width="14" customWidth="1"/>
  </cols>
  <sheetData>
    <row r="1" ht="30" customHeight="1" spans="1:8">
      <c r="A1" s="11" t="s">
        <v>68</v>
      </c>
      <c r="B1" s="11"/>
      <c r="C1" s="11"/>
      <c r="D1" s="11"/>
      <c r="E1" s="11"/>
      <c r="F1" s="11"/>
      <c r="G1" s="11"/>
      <c r="H1" s="11"/>
    </row>
    <row r="2" spans="1:8">
      <c r="A2" s="12" t="s">
        <v>69</v>
      </c>
      <c r="B2" s="12"/>
      <c r="C2" s="12"/>
      <c r="D2" s="12"/>
      <c r="E2" s="12"/>
      <c r="F2" s="12"/>
      <c r="G2" s="12"/>
      <c r="H2" s="12"/>
    </row>
    <row r="4" ht="15" spans="1:8">
      <c r="A4" s="6" t="s">
        <v>70</v>
      </c>
      <c r="B4" s="6" t="s">
        <v>71</v>
      </c>
      <c r="D4" s="6" t="s">
        <v>27</v>
      </c>
      <c r="E4" s="6" t="s">
        <v>30</v>
      </c>
      <c r="F4" s="6" t="s">
        <v>31</v>
      </c>
    </row>
    <row r="5" spans="1:8">
      <c r="A5" t="s">
        <v>72</v>
      </c>
      <c r="B5" s="13">
        <f ca="1">SUM('Raw Data'!J10:'Raw Data'!J39)</f>
        <v>56290</v>
      </c>
      <c r="D5" t="s">
        <v>35</v>
      </c>
      <c r="E5" s="13">
        <f ca="1">SUMIF('Raw Data'!C10:'Raw Data'!C39,"North",'Raw Data'!J10:'Raw Data'!J39)</f>
        <v>16960</v>
      </c>
      <c r="F5" s="13">
        <f ca="1">SUMIF('Raw Data'!C10:'Raw Data'!C39,"North",'Raw Data'!K10:'Raw Data'!K39)</f>
        <v>4466.28</v>
      </c>
    </row>
    <row r="6" spans="1:8">
      <c r="A6" t="s">
        <v>73</v>
      </c>
      <c r="B6" s="13">
        <f ca="1">SUM('Raw Data'!K10:'Raw Data'!K39)</f>
        <v>15259.46</v>
      </c>
      <c r="D6" t="s">
        <v>43</v>
      </c>
      <c r="E6" s="13">
        <f ca="1">SUMIF('Raw Data'!C10:'Raw Data'!C39,"South",'Raw Data'!J10:'Raw Data'!J39)</f>
        <v>12800</v>
      </c>
      <c r="F6" s="13">
        <f ca="1">SUMIF('Raw Data'!C10:'Raw Data'!C39,"South",'Raw Data'!K10:'Raw Data'!K39)</f>
        <v>3126.24</v>
      </c>
    </row>
    <row r="7" spans="1:8">
      <c r="A7" t="s">
        <v>74</v>
      </c>
      <c r="B7" s="13">
        <f ca="1">AVERAGE('Raw Data'!J10:'Raw Data'!J39)</f>
        <v>1876.33333333333</v>
      </c>
      <c r="D7" t="s">
        <v>45</v>
      </c>
      <c r="E7" s="13">
        <f ca="1">SUMIF('Raw Data'!C10:'Raw Data'!C39,"East",'Raw Data'!J10:'Raw Data'!J39)</f>
        <v>19670</v>
      </c>
      <c r="F7" s="13">
        <f ca="1">SUMIF('Raw Data'!C10:'Raw Data'!C39,"East",'Raw Data'!K10:'Raw Data'!K39)</f>
        <v>5682.39</v>
      </c>
    </row>
    <row r="8" spans="1:8">
      <c r="A8" t="s">
        <v>75</v>
      </c>
      <c r="B8" s="14">
        <f ca="1">COUNTA('Raw Data'!A10:'Raw Data'!A39)</f>
        <v>30</v>
      </c>
      <c r="D8" t="s">
        <v>39</v>
      </c>
      <c r="E8" s="13">
        <f ca="1">SUMIF('Raw Data'!C10:'Raw Data'!C39,"West",'Raw Data'!J10:'Raw Data'!J39)</f>
        <v>6860</v>
      </c>
      <c r="F8" s="13">
        <f ca="1">SUMIF('Raw Data'!C10:'Raw Data'!C39,"West",'Raw Data'!K10:'Raw Data'!K39)</f>
        <v>1984.55</v>
      </c>
    </row>
    <row r="9" spans="1:8">
      <c r="A9" t="s">
        <v>76</v>
      </c>
      <c r="B9" s="13">
        <f ca="1">SUMIF('Raw Data'!H10:'Raw Data'!H39,"Technology",'Raw Data'!J10:'Raw Data'!J39)</f>
        <v>41250</v>
      </c>
      <c r="D9" t="s">
        <v>77</v>
      </c>
      <c r="E9" s="13">
        <f ca="1">SUM(E5:E8)</f>
        <v>56290</v>
      </c>
      <c r="F9" s="13">
        <f ca="1">SUM(F5:F8)</f>
        <v>15259.46</v>
      </c>
    </row>
    <row r="10" spans="1:8">
      <c r="A10" t="s">
        <v>78</v>
      </c>
      <c r="B10" s="13">
        <f ca="1">SUMIF('Raw Data'!H10:'Raw Data'!H39,"Furniture",'Raw Data'!J10:'Raw Data'!J39)</f>
        <v>15040</v>
      </c>
    </row>
    <row r="11" spans="1:8">
      <c r="A11" t="s">
        <v>79</v>
      </c>
      <c r="B11" s="14">
        <f ca="1">COUNTIF('Raw Data'!C10:'Raw Data'!C39,"East")</f>
        <v>10</v>
      </c>
    </row>
    <row r="14" ht="15" spans="1:8">
      <c r="A14" s="8" t="s">
        <v>80</v>
      </c>
      <c r="B14" s="8"/>
      <c r="C14" s="8"/>
      <c r="D14" s="8"/>
      <c r="E14" s="8"/>
      <c r="F14" s="8"/>
      <c r="G14" s="8"/>
      <c r="H14" s="8"/>
    </row>
    <row r="15" ht="213.75" spans="1:8">
      <c r="A15" s="15" t="s">
        <v>81</v>
      </c>
      <c r="B15" s="16" t="s">
        <v>82</v>
      </c>
      <c r="C15" s="17" t="s">
        <v>83</v>
      </c>
      <c r="D15" s="17" t="s">
        <v>84</v>
      </c>
    </row>
    <row r="16" ht="71.25" spans="1:8">
      <c r="A16" s="15" t="s">
        <v>85</v>
      </c>
      <c r="B16" s="16" t="s">
        <v>30</v>
      </c>
      <c r="C16" s="17" t="s">
        <v>86</v>
      </c>
      <c r="D16" s="17" t="s">
        <v>87</v>
      </c>
    </row>
    <row r="17" ht="71.25" spans="1:8">
      <c r="A17" s="15" t="s">
        <v>88</v>
      </c>
      <c r="B17" s="16" t="s">
        <v>31</v>
      </c>
      <c r="C17" s="17" t="s">
        <v>89</v>
      </c>
      <c r="D17" s="17" t="s">
        <v>87</v>
      </c>
    </row>
    <row r="18" ht="71.25" spans="1:8">
      <c r="A18" s="15" t="s">
        <v>90</v>
      </c>
      <c r="B18" s="16" t="s">
        <v>32</v>
      </c>
      <c r="C18" s="17" t="s">
        <v>91</v>
      </c>
      <c r="D18" s="17" t="s">
        <v>92</v>
      </c>
    </row>
    <row r="19" ht="213.75" spans="1:8">
      <c r="A19" s="15" t="s">
        <v>93</v>
      </c>
      <c r="B19" s="16" t="s">
        <v>33</v>
      </c>
      <c r="C19" s="17" t="s">
        <v>94</v>
      </c>
      <c r="D19" s="17" t="s">
        <v>95</v>
      </c>
    </row>
    <row r="20" ht="270.75" spans="1:8">
      <c r="A20" s="15" t="s">
        <v>96</v>
      </c>
      <c r="B20" s="16" t="s">
        <v>97</v>
      </c>
      <c r="C20" s="17" t="s">
        <v>98</v>
      </c>
      <c r="D20" s="17" t="s">
        <v>99</v>
      </c>
    </row>
    <row r="21" ht="199.5" spans="1:8">
      <c r="A21" s="15" t="s">
        <v>100</v>
      </c>
      <c r="B21" s="16" t="s">
        <v>101</v>
      </c>
      <c r="C21" s="17" t="s">
        <v>102</v>
      </c>
      <c r="D21" s="17" t="s">
        <v>103</v>
      </c>
    </row>
    <row r="24" ht="15" spans="1:8">
      <c r="A24" s="8" t="s">
        <v>104</v>
      </c>
      <c r="B24" s="8"/>
      <c r="C24" s="8"/>
      <c r="D24" s="8"/>
      <c r="E24" s="8"/>
      <c r="F24" s="8"/>
      <c r="G24" s="8"/>
      <c r="H24" s="8"/>
    </row>
    <row r="25" ht="28.5" spans="1:8">
      <c r="A25" s="17" t="s">
        <v>105</v>
      </c>
    </row>
    <row r="26" ht="28.5" spans="1:8">
      <c r="A26" s="17" t="s">
        <v>106</v>
      </c>
      <c r="B26" s="18" t="s">
        <v>107</v>
      </c>
      <c r="C26" s="18"/>
      <c r="D26" s="18"/>
      <c r="E26" s="18"/>
      <c r="F26" s="18"/>
      <c r="G26" s="18"/>
      <c r="H26" s="18"/>
    </row>
    <row r="27" ht="28.5" spans="1:8">
      <c r="A27" s="17" t="s">
        <v>108</v>
      </c>
      <c r="B27" s="18" t="s">
        <v>109</v>
      </c>
      <c r="C27" s="18"/>
      <c r="D27" s="18"/>
      <c r="E27" s="18"/>
      <c r="F27" s="18"/>
      <c r="G27" s="18"/>
      <c r="H27" s="18"/>
    </row>
    <row r="28" ht="28.5" spans="1:8">
      <c r="A28" s="17" t="s">
        <v>110</v>
      </c>
      <c r="B28" s="18" t="s">
        <v>111</v>
      </c>
      <c r="C28" s="18"/>
      <c r="D28" s="18"/>
      <c r="E28" s="18"/>
      <c r="F28" s="18"/>
      <c r="G28" s="18"/>
      <c r="H28" s="18"/>
    </row>
  </sheetData>
  <mergeCells count="6">
    <mergeCell ref="A1:H1"/>
    <mergeCell ref="A2:H2"/>
    <mergeCell ref="A14:H14"/>
    <mergeCell ref="B26:H26"/>
    <mergeCell ref="B27:H27"/>
    <mergeCell ref="B28:H2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opLeftCell="A11" workbookViewId="0">
      <selection activeCell="A26" sqref="A26"/>
    </sheetView>
  </sheetViews>
  <sheetFormatPr defaultColWidth="9" defaultRowHeight="14.25"/>
  <cols>
    <col min="1" max="12" width="12" customWidth="1"/>
  </cols>
  <sheetData>
    <row r="1" ht="28" customHeight="1" spans="1:12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8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20" customHeight="1" spans="1:12">
      <c r="A3" s="2" t="s">
        <v>113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0" customHeight="1"/>
    <row r="5" ht="20" customHeight="1" spans="1:12">
      <c r="A5" s="3" t="s">
        <v>72</v>
      </c>
      <c r="B5" s="3"/>
      <c r="C5" s="3"/>
      <c r="D5" s="3" t="s">
        <v>73</v>
      </c>
      <c r="E5" s="3"/>
      <c r="F5" s="3"/>
      <c r="G5" s="3" t="s">
        <v>114</v>
      </c>
      <c r="H5" s="3"/>
      <c r="I5" s="3"/>
      <c r="J5" s="3" t="s">
        <v>115</v>
      </c>
      <c r="K5" s="3"/>
      <c r="L5" s="3"/>
    </row>
    <row r="6" ht="28" customHeight="1" spans="1:12">
      <c r="A6" s="4">
        <f ca="1">Analysis!B5</f>
        <v>56290</v>
      </c>
      <c r="B6" s="4"/>
      <c r="C6" s="4"/>
      <c r="D6" s="4">
        <f ca="1">Analysis!B6</f>
        <v>15259.46</v>
      </c>
      <c r="E6" s="4"/>
      <c r="F6" s="4"/>
      <c r="G6" s="4">
        <f ca="1">Analysis!B7</f>
        <v>1876.33333333333</v>
      </c>
      <c r="H6" s="4"/>
      <c r="I6" s="4"/>
      <c r="J6" s="5">
        <f ca="1">Analysis!B8</f>
        <v>30</v>
      </c>
      <c r="K6" s="5"/>
      <c r="L6" s="5"/>
    </row>
    <row r="7" ht="28" customHeight="1" spans="1:12">
      <c r="A7" s="4"/>
      <c r="B7" s="4"/>
      <c r="C7" s="4"/>
      <c r="D7" s="4"/>
      <c r="E7" s="4"/>
      <c r="F7" s="4"/>
      <c r="G7" s="4"/>
      <c r="H7" s="4"/>
      <c r="I7" s="4"/>
      <c r="J7" s="5"/>
      <c r="K7" s="5"/>
      <c r="L7" s="5"/>
    </row>
    <row r="8" ht="28" customHeight="1" spans="1:12">
      <c r="A8" s="4"/>
      <c r="B8" s="4"/>
      <c r="C8" s="4"/>
      <c r="D8" s="4"/>
      <c r="E8" s="4"/>
      <c r="F8" s="4"/>
      <c r="G8" s="4"/>
      <c r="H8" s="4"/>
      <c r="I8" s="4"/>
      <c r="J8" s="5"/>
      <c r="K8" s="5"/>
      <c r="L8" s="5"/>
    </row>
    <row r="9" ht="20" customHeight="1"/>
    <row r="10" ht="20" customHeight="1"/>
    <row r="11" ht="20" customHeight="1" spans="1:12">
      <c r="A11" s="6" t="s">
        <v>27</v>
      </c>
      <c r="B11" s="6" t="s">
        <v>30</v>
      </c>
      <c r="C11" s="6" t="s">
        <v>31</v>
      </c>
    </row>
    <row r="12" ht="20" customHeight="1" spans="1:12">
      <c r="A12" t="s">
        <v>35</v>
      </c>
      <c r="B12" s="7">
        <f ca="1">Analysis!E5</f>
        <v>16960</v>
      </c>
      <c r="C12" s="7">
        <f ca="1">Analysis!F5</f>
        <v>4466.28</v>
      </c>
    </row>
    <row r="13" ht="20" customHeight="1" spans="1:12">
      <c r="A13" t="s">
        <v>43</v>
      </c>
      <c r="B13" s="7">
        <f ca="1">Analysis!E6</f>
        <v>12800</v>
      </c>
      <c r="C13" s="7">
        <f ca="1">Analysis!F6</f>
        <v>3126.24</v>
      </c>
    </row>
    <row r="14" ht="20" customHeight="1" spans="1:12">
      <c r="A14" t="s">
        <v>45</v>
      </c>
      <c r="B14" s="7">
        <f ca="1">Analysis!E7</f>
        <v>19670</v>
      </c>
      <c r="C14" s="7">
        <f ca="1">Analysis!F7</f>
        <v>5682.39</v>
      </c>
    </row>
    <row r="15" ht="20" customHeight="1" spans="1:12">
      <c r="A15" t="s">
        <v>39</v>
      </c>
      <c r="B15" s="7">
        <f ca="1">Analysis!E8</f>
        <v>6860</v>
      </c>
      <c r="C15" s="7">
        <f ca="1">Analysis!F8</f>
        <v>1984.55</v>
      </c>
    </row>
    <row r="16" ht="20" customHeight="1" spans="1:12">
      <c r="A16" t="s">
        <v>77</v>
      </c>
      <c r="B16" s="7">
        <f ca="1">Analysis!E9</f>
        <v>56290</v>
      </c>
      <c r="C16" s="7">
        <f ca="1">Analysis!F9</f>
        <v>15259.46</v>
      </c>
    </row>
    <row r="17" ht="20" customHeight="1"/>
    <row r="18" ht="20" customHeight="1"/>
    <row r="19" ht="20" customHeight="1" spans="1:3">
      <c r="A19" s="8" t="s">
        <v>116</v>
      </c>
      <c r="B19" s="8"/>
      <c r="C19" s="8"/>
    </row>
    <row r="20" ht="20" customHeight="1" spans="1:3">
      <c r="A20" s="9" t="s">
        <v>117</v>
      </c>
      <c r="B20" s="9"/>
      <c r="C20" s="9"/>
    </row>
    <row r="21" ht="20" customHeight="1" spans="1:3">
      <c r="A21" s="10"/>
      <c r="B21" s="10"/>
      <c r="C21" s="10"/>
    </row>
    <row r="22" ht="20" customHeight="1" spans="1:3">
      <c r="A22" s="9" t="s">
        <v>118</v>
      </c>
      <c r="B22" s="9"/>
      <c r="C22" s="9"/>
    </row>
    <row r="23" ht="20" customHeight="1" spans="1:3">
      <c r="A23" s="10"/>
      <c r="B23" s="10"/>
      <c r="C23" s="10"/>
    </row>
    <row r="24" ht="20" customHeight="1" spans="1:3">
      <c r="A24" s="9" t="s">
        <v>119</v>
      </c>
      <c r="B24" s="9"/>
      <c r="C24" s="9"/>
    </row>
    <row r="25" ht="20" customHeight="1" spans="1:3">
      <c r="A25" s="10"/>
      <c r="B25" s="10"/>
      <c r="C25" s="10"/>
    </row>
    <row r="26" ht="20" customHeight="1"/>
    <row r="27" ht="20" customHeight="1"/>
  </sheetData>
  <mergeCells count="14">
    <mergeCell ref="A3:L3"/>
    <mergeCell ref="A5:C5"/>
    <mergeCell ref="D5:F5"/>
    <mergeCell ref="G5:I5"/>
    <mergeCell ref="J5:L5"/>
    <mergeCell ref="A19:C19"/>
    <mergeCell ref="A1:L2"/>
    <mergeCell ref="A6:C8"/>
    <mergeCell ref="D6:F8"/>
    <mergeCell ref="G6:I8"/>
    <mergeCell ref="J6:L8"/>
    <mergeCell ref="A20:C21"/>
    <mergeCell ref="A22:C23"/>
    <mergeCell ref="A24:C2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2026-09-18T21:31:41Z</dcterms:created>
  <dcterms:modified xsi:type="dcterms:W3CDTF">2026-09-18T23:08:07Z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B786269FF3144928A0B3C2FEBB11D23C_13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